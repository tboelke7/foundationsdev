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Assumptions" sheetId="2" state="visible" r:id="rId2"/>
    <sheet name="Listing Worksheet" sheetId="3" state="visible" r:id="rId3"/>
  </sheets>
  <definedNames>
    <definedName name="_xlnm._FilterDatabase" localSheetId="2" hidden="1">'Listing Worksheet'!$A$1:$Z$34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123A4F"/>
      <sz val="12"/>
    </font>
    <font>
      <b val="1"/>
      <color rgb="00FFFFFF"/>
      <sz val="10"/>
    </font>
    <font>
      <b val="1"/>
      <color rgb="00123A4F"/>
      <sz val="14"/>
    </font>
    <font>
      <color rgb="005B6472"/>
      <sz val="10"/>
    </font>
    <font>
      <color rgb="00000000"/>
      <sz val="10"/>
    </font>
    <font>
      <b val="1"/>
      <color rgb="00123A4F"/>
      <sz val="11"/>
    </font>
    <font>
      <color rgb="00A5362D"/>
      <sz val="10"/>
    </font>
  </fonts>
  <fills count="5">
    <fill>
      <patternFill/>
    </fill>
    <fill>
      <patternFill patternType="gray125"/>
    </fill>
    <fill>
      <patternFill patternType="solid">
        <fgColor rgb="00123A4F"/>
      </patternFill>
    </fill>
    <fill>
      <patternFill patternType="solid">
        <fgColor rgb="00FFF7E0"/>
      </patternFill>
    </fill>
    <fill>
      <patternFill patternType="solid">
        <fgColor rgb="00B8862F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165" fontId="0" fillId="3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382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8382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8382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8382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8382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8382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8382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8382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95425" cy="11239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838200" cy="11239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838200" cy="1123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838200" cy="11239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838200" cy="1123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838200" cy="11239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838200" cy="11239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838200" cy="11239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838200" cy="11239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838200" cy="11239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838200" cy="11239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838200" cy="11239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838200" cy="11239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838200" cy="11239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838200" cy="11239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838200" cy="11239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838200" cy="11239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495425" cy="11239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838200" cy="11239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838200" cy="11239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838200" cy="11239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838200" cy="11239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838200" cy="11239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838200" cy="11239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838200" cy="11239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Batcha Gems — Listing &amp; Landed-Cost Worksheet</t>
        </is>
      </c>
    </row>
    <row r="2">
      <c r="A2" s="2" t="inlineStr">
        <is>
          <t>Prepared 2026-09-09. 33 selected pieces (photos). Gold-headed columns are INPUTS you fill after Batcha replies.</t>
        </is>
      </c>
    </row>
    <row r="3">
      <c r="A3" s="3" t="inlineStr"/>
    </row>
    <row r="4">
      <c r="A4" s="4" t="inlineStr">
        <is>
          <t>Workflow:</t>
        </is>
      </c>
    </row>
    <row r="5">
      <c r="A5" s="3" t="inlineStr">
        <is>
          <t>1. Send Batcha the questionnaire (Batcha_Supplier_Questionnaire.docx) to get: trade price, treatment/cert, carat, metal weight, sizes, variants, set prices, and an insured landed quote to your ZIP.</t>
        </is>
      </c>
    </row>
    <row r="6">
      <c r="A6" s="3" t="inlineStr">
        <is>
          <t>2. Type their trade price into 'Supplier trade price', plus insured shipping and any export/NGJA fees. US duty, landed total, and margin calculate automatically.</t>
        </is>
      </c>
    </row>
    <row r="7">
      <c r="A7" s="3" t="inlineStr">
        <is>
          <t>3. 'Target US retail' is pre-filled with my HEATED high estimate — overwrite it with the column that matches the confirmed treatment (use the UNHEATED figures if a report confirms unheated).</t>
        </is>
      </c>
    </row>
    <row r="8">
      <c r="A8" s="3" t="inlineStr">
        <is>
          <t>4. Rows marked 'MULTIPLE' in Notes are display trays: ask Batcha to itemize each piece (one row each) with its own SKU, carat, size and price.</t>
        </is>
      </c>
    </row>
    <row r="9">
      <c r="A9" s="3" t="inlineStr"/>
    </row>
    <row r="10">
      <c r="A10" s="2" t="inlineStr">
        <is>
          <t>Assumptions (duty %, packaging, ship-to ZIP) live on the 'Assumptions' tab — change the duty rate there and every row updates.</t>
        </is>
      </c>
    </row>
    <row r="11">
      <c r="A11" s="5" t="inlineStr">
        <is>
          <t>Estimates are asking-price reference, not appraisals. Confirm treatment + lab report on every significant stone.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70" customWidth="1" min="3" max="3"/>
  </cols>
  <sheetData>
    <row r="1">
      <c r="A1" s="6" t="inlineStr">
        <is>
          <t>Landed-cost assumptions (edit these — the worksheet formulas use them)</t>
        </is>
      </c>
    </row>
    <row r="2">
      <c r="A2" s="7" t="inlineStr">
        <is>
          <t>Item</t>
        </is>
      </c>
      <c r="B2" s="7" t="inlineStr">
        <is>
          <t>Value</t>
        </is>
      </c>
      <c r="C2" s="7" t="inlineStr">
        <is>
          <t>Note</t>
        </is>
      </c>
    </row>
    <row r="3">
      <c r="A3" t="inlineStr">
        <is>
          <t>Import duty rate (finished gold jewelry)</t>
        </is>
      </c>
      <c r="B3" s="8" t="n">
        <v>0.055</v>
      </c>
      <c r="C3" t="inlineStr">
        <is>
          <t>HTS 7113 ~5–5.8%. Loose stones are often 0%. Confirm for your imports.</t>
        </is>
      </c>
    </row>
    <row r="4">
      <c r="A4" t="inlineStr">
        <is>
          <t>Default packaging per piece (USD)</t>
        </is>
      </c>
      <c r="B4" s="9" t="n">
        <v>8</v>
      </c>
      <c r="C4" t="inlineStr">
        <is>
          <t>Presentation box / padding.</t>
        </is>
      </c>
    </row>
    <row r="5">
      <c r="A5" t="inlineStr">
        <is>
          <t>Ship-to (U.S.) ZIP / city</t>
        </is>
      </c>
      <c r="B5" s="9" t="inlineStr">
        <is>
          <t>[ FILL IN ]</t>
        </is>
      </c>
      <c r="C5" t="inlineStr">
        <is>
          <t>Give this to Batcha for an insured-courier quote.</t>
        </is>
      </c>
    </row>
    <row r="6">
      <c r="A6" t="inlineStr">
        <is>
          <t>Note on shipping</t>
        </is>
      </c>
      <c r="B6" s="9" t="inlineStr">
        <is>
          <t>per-piece insured courier SL→US ~ $60–90 for one parcel; a batch amortises lower</t>
        </is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24" customWidth="1" min="5" max="5"/>
    <col width="22" customWidth="1" min="6" max="6"/>
    <col width="6" customWidth="1" min="7" max="7"/>
    <col width="11" customWidth="1" min="8" max="8"/>
    <col width="11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0" customWidth="1" min="16" max="16"/>
    <col width="14" customWidth="1" min="17" max="17"/>
    <col width="13" customWidth="1" min="18" max="18"/>
    <col width="12" customWidth="1" min="19" max="19"/>
    <col width="11" customWidth="1" min="20" max="20"/>
    <col width="22" customWidth="1" min="21" max="21"/>
    <col width="22" customWidth="1" min="22" max="22"/>
    <col width="22" customWidth="1" min="23" max="23"/>
    <col width="20" customWidth="1" min="24" max="24"/>
    <col width="12" customWidth="1" min="25" max="25"/>
    <col width="46" customWidth="1" min="26" max="26"/>
  </cols>
  <sheetData>
    <row r="1">
      <c r="A1" s="10" t="inlineStr">
        <is>
          <t>Ref</t>
        </is>
      </c>
      <c r="B1" s="10" t="inlineStr">
        <is>
          <t>Photo</t>
        </is>
      </c>
      <c r="C1" s="10" t="inlineStr">
        <is>
          <t>Piece / description</t>
        </is>
      </c>
      <c r="D1" s="10" t="inlineStr">
        <is>
          <t>Type</t>
        </is>
      </c>
      <c r="E1" s="10" t="inlineStr">
        <is>
          <t>Gem</t>
        </is>
      </c>
      <c r="F1" s="10" t="inlineStr">
        <is>
          <t>Metal</t>
        </is>
      </c>
      <c r="G1" s="10" t="inlineStr">
        <is>
          <t>Ring?</t>
        </is>
      </c>
      <c r="H1" s="10" t="inlineStr">
        <is>
          <t>Retail HEATED low</t>
        </is>
      </c>
      <c r="I1" s="10" t="inlineStr">
        <is>
          <t>HEATED high</t>
        </is>
      </c>
      <c r="J1" s="10" t="inlineStr">
        <is>
          <t>Retail UNHEATED low</t>
        </is>
      </c>
      <c r="K1" s="10" t="inlineStr">
        <is>
          <t>UNHEATED high</t>
        </is>
      </c>
      <c r="L1" s="11" t="inlineStr">
        <is>
          <t>Supplier trade price $</t>
        </is>
      </c>
      <c r="M1" s="11" t="inlineStr">
        <is>
          <t>Insured shipping $</t>
        </is>
      </c>
      <c r="N1" s="11" t="inlineStr">
        <is>
          <t>Export/NGJA + fees $</t>
        </is>
      </c>
      <c r="O1" s="10" t="inlineStr">
        <is>
          <t>US duty $ (auto)</t>
        </is>
      </c>
      <c r="P1" s="11" t="inlineStr">
        <is>
          <t>Packaging $</t>
        </is>
      </c>
      <c r="Q1" s="10" t="inlineStr">
        <is>
          <t>LANDED TOTAL $ (auto)</t>
        </is>
      </c>
      <c r="R1" s="11" t="inlineStr">
        <is>
          <t>Target US retail $</t>
        </is>
      </c>
      <c r="S1" s="10" t="inlineStr">
        <is>
          <t>Margin $ (auto)</t>
        </is>
      </c>
      <c r="T1" s="10" t="inlineStr">
        <is>
          <t>Margin % (auto)</t>
        </is>
      </c>
      <c r="U1" s="11" t="inlineStr">
        <is>
          <t>Ring size / resize range</t>
        </is>
      </c>
      <c r="V1" s="11" t="inlineStr">
        <is>
          <t>Variants available</t>
        </is>
      </c>
      <c r="W1" s="11" t="inlineStr">
        <is>
          <t>Set components</t>
        </is>
      </c>
      <c r="X1" s="11" t="inlineStr">
        <is>
          <t>Cert / lab report</t>
        </is>
      </c>
      <c r="Y1" s="11" t="inlineStr">
        <is>
          <t>Pro images rec'd?</t>
        </is>
      </c>
      <c r="Z1" s="10" t="inlineStr">
        <is>
          <t>Notes</t>
        </is>
      </c>
    </row>
    <row r="2" ht="92" customHeight="1">
      <c r="A2" s="12" t="inlineStr">
        <is>
          <t>BG-01</t>
        </is>
      </c>
      <c r="B2" s="12" t="n"/>
      <c r="C2" s="12" t="inlineStr">
        <is>
          <t>Cat's-eye moonstone + blue sapphire halo line bracelet (turtle motif)</t>
        </is>
      </c>
      <c r="D2" s="12" t="inlineStr">
        <is>
          <t>Bracelet</t>
        </is>
      </c>
      <c r="E2" s="12" t="inlineStr">
        <is>
          <t>Cat's-eye moonstone + blue sapphire</t>
        </is>
      </c>
      <c r="F2" s="12" t="inlineStr">
        <is>
          <t>White/yellow gold</t>
        </is>
      </c>
      <c r="G2" s="12" t="inlineStr"/>
      <c r="H2" s="13" t="n">
        <v>900</v>
      </c>
      <c r="I2" s="13" t="n">
        <v>2000</v>
      </c>
      <c r="J2" s="13" t="inlineStr">
        <is>
          <t>n/a</t>
        </is>
      </c>
      <c r="K2" s="13" t="inlineStr"/>
      <c r="L2" s="14" t="n"/>
      <c r="M2" s="14" t="n"/>
      <c r="N2" s="14" t="n"/>
      <c r="O2" s="13">
        <f>IF($L2="","",ROUND(Assumptions!$B$3*$L2,2))</f>
        <v/>
      </c>
      <c r="P2" s="14" t="n">
        <v>8</v>
      </c>
      <c r="Q2" s="13">
        <f>IF($L2="","",SUM($L2,$M2,$N2,$O2,$P2))</f>
        <v/>
      </c>
      <c r="R2" s="14" t="n">
        <v>2000</v>
      </c>
      <c r="S2" s="13">
        <f>IF(OR($R2="",$Q2=""),"",$R2-$Q2)</f>
        <v/>
      </c>
      <c r="T2" s="15">
        <f>IF(OR($R2="",$S2=""),"",$S2/$R2)</f>
        <v/>
      </c>
      <c r="U2" s="16" t="inlineStr"/>
      <c r="V2" s="16" t="n"/>
      <c r="W2" s="16" t="inlineStr"/>
      <c r="X2" s="16" t="n"/>
      <c r="Y2" s="16" t="n"/>
      <c r="Z2" s="12" t="inlineStr">
        <is>
          <t>Confirm metal (silver vs gold). Moonstone is untreated — no unheated premium.</t>
        </is>
      </c>
    </row>
    <row r="3" ht="92" customHeight="1">
      <c r="A3" s="12" t="inlineStr">
        <is>
          <t>BG-03</t>
        </is>
      </c>
      <c r="B3" s="12" t="n"/>
      <c r="C3" s="12" t="inlineStr">
        <is>
          <t>Cat's-eye moonstone cabochon + blue sapphire halo chain bracelet</t>
        </is>
      </c>
      <c r="D3" s="12" t="inlineStr">
        <is>
          <t>Bracelet</t>
        </is>
      </c>
      <c r="E3" s="12" t="inlineStr">
        <is>
          <t>Cat's-eye moonstone + blue sapphire</t>
        </is>
      </c>
      <c r="F3" s="12" t="inlineStr">
        <is>
          <t>Yellow gold</t>
        </is>
      </c>
      <c r="G3" s="12" t="inlineStr"/>
      <c r="H3" s="13" t="n">
        <v>900</v>
      </c>
      <c r="I3" s="13" t="n">
        <v>2000</v>
      </c>
      <c r="J3" s="13" t="inlineStr">
        <is>
          <t>n/a</t>
        </is>
      </c>
      <c r="K3" s="13" t="inlineStr"/>
      <c r="L3" s="14" t="n"/>
      <c r="M3" s="14" t="n"/>
      <c r="N3" s="14" t="n"/>
      <c r="O3" s="13">
        <f>IF($L3="","",ROUND(Assumptions!$B$3*$L3,2))</f>
        <v/>
      </c>
      <c r="P3" s="14" t="n">
        <v>8</v>
      </c>
      <c r="Q3" s="13">
        <f>IF($L3="","",SUM($L3,$M3,$N3,$O3,$P3))</f>
        <v/>
      </c>
      <c r="R3" s="14" t="n">
        <v>2000</v>
      </c>
      <c r="S3" s="13">
        <f>IF(OR($R3="",$Q3=""),"",$R3-$Q3)</f>
        <v/>
      </c>
      <c r="T3" s="15">
        <f>IF(OR($R3="",$S3=""),"",$S3/$R3)</f>
        <v/>
      </c>
      <c r="U3" s="16" t="inlineStr"/>
      <c r="V3" s="16" t="n"/>
      <c r="W3" s="16" t="inlineStr"/>
      <c r="X3" s="16" t="n"/>
      <c r="Y3" s="16" t="n"/>
      <c r="Z3" s="12" t="inlineStr">
        <is>
          <t>Possible set with BG-10 studs / BG-12 ring — ask.</t>
        </is>
      </c>
    </row>
    <row r="4" ht="92" customHeight="1">
      <c r="A4" s="12" t="inlineStr">
        <is>
          <t>BG-04</t>
        </is>
      </c>
      <c r="B4" s="12" t="n"/>
      <c r="C4" s="12" t="inlineStr">
        <is>
          <t>Ring tray — multiple blue-sapphire &amp; cat's-eye halo rings</t>
        </is>
      </c>
      <c r="D4" s="12" t="inlineStr">
        <is>
          <t>Ring (MULTIPLE)</t>
        </is>
      </c>
      <c r="E4" s="12" t="inlineStr">
        <is>
          <t>Blue sapphire / moonstone</t>
        </is>
      </c>
      <c r="F4" s="12" t="inlineStr">
        <is>
          <t>Gold + diamonds</t>
        </is>
      </c>
      <c r="G4" s="12" t="inlineStr">
        <is>
          <t>Y</t>
        </is>
      </c>
      <c r="H4" s="13" t="n"/>
      <c r="I4" s="13" t="n"/>
      <c r="J4" s="13" t="inlineStr"/>
      <c r="K4" s="13" t="inlineStr"/>
      <c r="L4" s="14" t="n"/>
      <c r="M4" s="14" t="n"/>
      <c r="N4" s="14" t="n"/>
      <c r="O4" s="13">
        <f>IF($L4="","",ROUND(Assumptions!$B$3*$L4,2))</f>
        <v/>
      </c>
      <c r="P4" s="14" t="n">
        <v>8</v>
      </c>
      <c r="Q4" s="13">
        <f>IF($L4="","",SUM($L4,$M4,$N4,$O4,$P4))</f>
        <v/>
      </c>
      <c r="R4" s="14" t="n"/>
      <c r="S4" s="13">
        <f>IF(OR($R4="",$Q4=""),"",$R4-$Q4)</f>
        <v/>
      </c>
      <c r="T4" s="15">
        <f>IF(OR($R4="",$S4=""),"",$S4/$R4)</f>
        <v/>
      </c>
      <c r="U4" s="16" t="inlineStr">
        <is>
          <t>resize? →</t>
        </is>
      </c>
      <c r="V4" s="16" t="n"/>
      <c r="W4" s="16" t="inlineStr"/>
      <c r="X4" s="16" t="n"/>
      <c r="Y4" s="16" t="n"/>
      <c r="Z4" s="12" t="inlineStr">
        <is>
          <t>MULTIPLE PIECES in photo — itemize each with SKU, carat, size, price.</t>
        </is>
      </c>
    </row>
    <row r="5" ht="92" customHeight="1">
      <c r="A5" s="12" t="inlineStr">
        <is>
          <t>BG-06</t>
        </is>
      </c>
      <c r="B5" s="12" t="n"/>
      <c r="C5" s="12" t="inlineStr">
        <is>
          <t>Yellow sapphire &amp; diamond fringe / drip station necklace</t>
        </is>
      </c>
      <c r="D5" s="12" t="inlineStr">
        <is>
          <t>Necklace</t>
        </is>
      </c>
      <c r="E5" s="12" t="inlineStr">
        <is>
          <t>Yellow Ceylon sapphire</t>
        </is>
      </c>
      <c r="F5" s="12" t="inlineStr">
        <is>
          <t>Yellow gold + diamonds</t>
        </is>
      </c>
      <c r="G5" s="12" t="inlineStr"/>
      <c r="H5" s="13" t="n">
        <v>1800</v>
      </c>
      <c r="I5" s="13" t="n">
        <v>4000</v>
      </c>
      <c r="J5" s="13" t="n">
        <v>2400</v>
      </c>
      <c r="K5" s="13" t="n">
        <v>5500</v>
      </c>
      <c r="L5" s="14" t="n"/>
      <c r="M5" s="14" t="n"/>
      <c r="N5" s="14" t="n"/>
      <c r="O5" s="13">
        <f>IF($L5="","",ROUND(Assumptions!$B$3*$L5,2))</f>
        <v/>
      </c>
      <c r="P5" s="14" t="n">
        <v>8</v>
      </c>
      <c r="Q5" s="13">
        <f>IF($L5="","",SUM($L5,$M5,$N5,$O5,$P5))</f>
        <v/>
      </c>
      <c r="R5" s="14" t="n">
        <v>4000</v>
      </c>
      <c r="S5" s="13">
        <f>IF(OR($R5="",$Q5=""),"",$R5-$Q5)</f>
        <v/>
      </c>
      <c r="T5" s="15">
        <f>IF(OR($R5="",$S5=""),"",$S5/$R5)</f>
        <v/>
      </c>
      <c r="U5" s="16" t="inlineStr"/>
      <c r="V5" s="16" t="n"/>
      <c r="W5" s="16" t="inlineStr"/>
      <c r="X5" s="16" t="n"/>
      <c r="Y5" s="16" t="n"/>
      <c r="Z5" s="12" t="inlineStr">
        <is>
          <t>Watch for beryllium/diffusion on yellow — must be disclosed.</t>
        </is>
      </c>
    </row>
    <row r="6" ht="92" customHeight="1">
      <c r="A6" s="12" t="inlineStr">
        <is>
          <t>BG-07</t>
        </is>
      </c>
      <c r="B6" s="12" t="n"/>
      <c r="C6" s="12" t="inlineStr">
        <is>
          <t>Three pendants — blue topaz pear; pink sapphire filigree; emerald+diamond halo</t>
        </is>
      </c>
      <c r="D6" s="12" t="inlineStr">
        <is>
          <t>Pendant (MULTIPLE)</t>
        </is>
      </c>
      <c r="E6" s="12" t="inlineStr">
        <is>
          <t>Topaz / pink sapphire / emerald</t>
        </is>
      </c>
      <c r="F6" s="12" t="inlineStr">
        <is>
          <t>Gold + diamonds</t>
        </is>
      </c>
      <c r="G6" s="12" t="inlineStr"/>
      <c r="H6" s="13" t="n"/>
      <c r="I6" s="13" t="n"/>
      <c r="J6" s="13" t="inlineStr"/>
      <c r="K6" s="13" t="inlineStr"/>
      <c r="L6" s="14" t="n"/>
      <c r="M6" s="14" t="n"/>
      <c r="N6" s="14" t="n"/>
      <c r="O6" s="13">
        <f>IF($L6="","",ROUND(Assumptions!$B$3*$L6,2))</f>
        <v/>
      </c>
      <c r="P6" s="14" t="n">
        <v>8</v>
      </c>
      <c r="Q6" s="13">
        <f>IF($L6="","",SUM($L6,$M6,$N6,$O6,$P6))</f>
        <v/>
      </c>
      <c r="R6" s="14" t="n"/>
      <c r="S6" s="13">
        <f>IF(OR($R6="",$Q6=""),"",$R6-$Q6)</f>
        <v/>
      </c>
      <c r="T6" s="15">
        <f>IF(OR($R6="",$S6=""),"",$S6/$R6)</f>
        <v/>
      </c>
      <c r="U6" s="16" t="inlineStr"/>
      <c r="V6" s="16" t="n"/>
      <c r="W6" s="16" t="inlineStr"/>
      <c r="X6" s="16" t="n"/>
      <c r="Y6" s="16" t="n"/>
      <c r="Z6" s="12" t="inlineStr">
        <is>
          <t>MULTIPLE (3 pendants) — itemize each.</t>
        </is>
      </c>
    </row>
    <row r="7" ht="92" customHeight="1">
      <c r="A7" s="12" t="inlineStr">
        <is>
          <t>BG-09</t>
        </is>
      </c>
      <c r="B7" s="12" t="n"/>
      <c r="C7" s="12" t="inlineStr">
        <is>
          <t>Scatter 'confetti' multi-sapphire + diamond teardrop pendant</t>
        </is>
      </c>
      <c r="D7" s="12" t="inlineStr">
        <is>
          <t>Pendant</t>
        </is>
      </c>
      <c r="E7" s="12" t="inlineStr">
        <is>
          <t>Multi-color fancy sapphire</t>
        </is>
      </c>
      <c r="F7" s="12" t="inlineStr">
        <is>
          <t>Rose &amp; white gold + diamonds</t>
        </is>
      </c>
      <c r="G7" s="12" t="inlineStr"/>
      <c r="H7" s="13" t="n">
        <v>1200</v>
      </c>
      <c r="I7" s="13" t="n">
        <v>2800</v>
      </c>
      <c r="J7" s="13" t="n">
        <v>1350</v>
      </c>
      <c r="K7" s="13" t="n">
        <v>3200</v>
      </c>
      <c r="L7" s="14" t="n"/>
      <c r="M7" s="14" t="n"/>
      <c r="N7" s="14" t="n"/>
      <c r="O7" s="13">
        <f>IF($L7="","",ROUND(Assumptions!$B$3*$L7,2))</f>
        <v/>
      </c>
      <c r="P7" s="14" t="n">
        <v>8</v>
      </c>
      <c r="Q7" s="13">
        <f>IF($L7="","",SUM($L7,$M7,$N7,$O7,$P7))</f>
        <v/>
      </c>
      <c r="R7" s="14" t="n">
        <v>2800</v>
      </c>
      <c r="S7" s="13">
        <f>IF(OR($R7="",$Q7=""),"",$R7-$Q7)</f>
        <v/>
      </c>
      <c r="T7" s="15">
        <f>IF(OR($R7="",$S7=""),"",$S7/$R7)</f>
        <v/>
      </c>
      <c r="U7" s="16" t="inlineStr"/>
      <c r="V7" s="16" t="n"/>
      <c r="W7" s="16" t="inlineStr"/>
      <c r="X7" s="16" t="n"/>
      <c r="Y7" s="16" t="n"/>
      <c r="Z7" s="12" t="inlineStr">
        <is>
          <t>Fancy melee — heat status minor.</t>
        </is>
      </c>
    </row>
    <row r="8" ht="92" customHeight="1">
      <c r="A8" s="12" t="inlineStr">
        <is>
          <t>BG-10</t>
        </is>
      </c>
      <c r="B8" s="12" t="n"/>
      <c r="C8" s="12" t="inlineStr">
        <is>
          <t>Cat's-eye moonstone cabochon + blue sapphire halo stud earrings</t>
        </is>
      </c>
      <c r="D8" s="12" t="inlineStr">
        <is>
          <t>Earrings (studs)</t>
        </is>
      </c>
      <c r="E8" s="12" t="inlineStr">
        <is>
          <t>Cat's-eye moonstone + blue sapphire</t>
        </is>
      </c>
      <c r="F8" s="12" t="inlineStr">
        <is>
          <t>White gold</t>
        </is>
      </c>
      <c r="G8" s="12" t="inlineStr"/>
      <c r="H8" s="13" t="n">
        <v>800</v>
      </c>
      <c r="I8" s="13" t="n">
        <v>1800</v>
      </c>
      <c r="J8" s="13" t="inlineStr">
        <is>
          <t>n/a</t>
        </is>
      </c>
      <c r="K8" s="13" t="inlineStr"/>
      <c r="L8" s="14" t="n"/>
      <c r="M8" s="14" t="n"/>
      <c r="N8" s="14" t="n"/>
      <c r="O8" s="13">
        <f>IF($L8="","",ROUND(Assumptions!$B$3*$L8,2))</f>
        <v/>
      </c>
      <c r="P8" s="14" t="n">
        <v>8</v>
      </c>
      <c r="Q8" s="13">
        <f>IF($L8="","",SUM($L8,$M8,$N8,$O8,$P8))</f>
        <v/>
      </c>
      <c r="R8" s="14" t="n">
        <v>1800</v>
      </c>
      <c r="S8" s="13">
        <f>IF(OR($R8="",$Q8=""),"",$R8-$Q8)</f>
        <v/>
      </c>
      <c r="T8" s="15">
        <f>IF(OR($R8="",$S8=""),"",$S8/$R8)</f>
        <v/>
      </c>
      <c r="U8" s="16" t="inlineStr"/>
      <c r="V8" s="16" t="n"/>
      <c r="W8" s="16" t="inlineStr">
        <is>
          <t>Possible set: BG-03 bracelet / BG-12 ring</t>
        </is>
      </c>
      <c r="X8" s="16" t="n"/>
      <c r="Y8" s="16" t="n"/>
      <c r="Z8" s="12" t="inlineStr">
        <is>
          <t>Moonstone untreated — no unheated premium.</t>
        </is>
      </c>
    </row>
    <row r="9" ht="92" customHeight="1">
      <c r="A9" s="12" t="inlineStr">
        <is>
          <t>BG-11</t>
        </is>
      </c>
      <c r="B9" s="12" t="n"/>
      <c r="C9" s="12" t="inlineStr">
        <is>
          <t>Pink sapphire diamond-halo studs + filigree tablet pendant (Art-Deco set)</t>
        </is>
      </c>
      <c r="D9" s="12" t="inlineStr">
        <is>
          <t>Set (pendant + earrings)</t>
        </is>
      </c>
      <c r="E9" s="12" t="inlineStr">
        <is>
          <t>Pink Ceylon sapphire</t>
        </is>
      </c>
      <c r="F9" s="12" t="inlineStr">
        <is>
          <t>Rose gold + diamonds</t>
        </is>
      </c>
      <c r="G9" s="12" t="inlineStr"/>
      <c r="H9" s="13" t="n">
        <v>1200</v>
      </c>
      <c r="I9" s="13" t="n">
        <v>2600</v>
      </c>
      <c r="J9" s="13" t="n">
        <v>1800</v>
      </c>
      <c r="K9" s="13" t="n">
        <v>3800</v>
      </c>
      <c r="L9" s="14" t="n"/>
      <c r="M9" s="14" t="n"/>
      <c r="N9" s="14" t="n"/>
      <c r="O9" s="13">
        <f>IF($L9="","",ROUND(Assumptions!$B$3*$L9,2))</f>
        <v/>
      </c>
      <c r="P9" s="14" t="n">
        <v>8</v>
      </c>
      <c r="Q9" s="13">
        <f>IF($L9="","",SUM($L9,$M9,$N9,$O9,$P9))</f>
        <v/>
      </c>
      <c r="R9" s="14" t="n">
        <v>2600</v>
      </c>
      <c r="S9" s="13">
        <f>IF(OR($R9="",$Q9=""),"",$R9-$Q9)</f>
        <v/>
      </c>
      <c r="T9" s="15">
        <f>IF(OR($R9="",$S9=""),"",$S9/$R9)</f>
        <v/>
      </c>
      <c r="U9" s="16" t="inlineStr"/>
      <c r="V9" s="16" t="n"/>
      <c r="W9" s="16" t="inlineStr">
        <is>
          <t>Pendant + matching studs</t>
        </is>
      </c>
      <c r="X9" s="16" t="n"/>
      <c r="Y9" s="16" t="n"/>
      <c r="Z9" s="12" t="inlineStr">
        <is>
          <t>Confirm sold as set + individual prices.</t>
        </is>
      </c>
    </row>
    <row r="10" ht="92" customHeight="1">
      <c r="A10" s="12" t="inlineStr">
        <is>
          <t>BG-12</t>
        </is>
      </c>
      <c r="B10" s="12" t="n"/>
      <c r="C10" s="12" t="inlineStr">
        <is>
          <t>Cat's-eye moonstone cabochon + blue sapphire halo ring</t>
        </is>
      </c>
      <c r="D10" s="12" t="inlineStr">
        <is>
          <t>Ring</t>
        </is>
      </c>
      <c r="E10" s="12" t="inlineStr">
        <is>
          <t>Cat's-eye moonstone + blue sapphire</t>
        </is>
      </c>
      <c r="F10" s="12" t="inlineStr">
        <is>
          <t>White gold</t>
        </is>
      </c>
      <c r="G10" s="12" t="inlineStr">
        <is>
          <t>Y</t>
        </is>
      </c>
      <c r="H10" s="13" t="n">
        <v>700</v>
      </c>
      <c r="I10" s="13" t="n">
        <v>1600</v>
      </c>
      <c r="J10" s="13" t="inlineStr">
        <is>
          <t>n/a</t>
        </is>
      </c>
      <c r="K10" s="13" t="inlineStr"/>
      <c r="L10" s="14" t="n"/>
      <c r="M10" s="14" t="n"/>
      <c r="N10" s="14" t="n"/>
      <c r="O10" s="13">
        <f>IF($L10="","",ROUND(Assumptions!$B$3*$L10,2))</f>
        <v/>
      </c>
      <c r="P10" s="14" t="n">
        <v>8</v>
      </c>
      <c r="Q10" s="13">
        <f>IF($L10="","",SUM($L10,$M10,$N10,$O10,$P10))</f>
        <v/>
      </c>
      <c r="R10" s="14" t="n">
        <v>1600</v>
      </c>
      <c r="S10" s="13">
        <f>IF(OR($R10="",$Q10=""),"",$R10-$Q10)</f>
        <v/>
      </c>
      <c r="T10" s="15">
        <f>IF(OR($R10="",$S10=""),"",$S10/$R10)</f>
        <v/>
      </c>
      <c r="U10" s="16" t="inlineStr">
        <is>
          <t>resize? →</t>
        </is>
      </c>
      <c r="V10" s="16" t="n"/>
      <c r="W10" s="16" t="inlineStr">
        <is>
          <t>Possible set: BG-03 / BG-10</t>
        </is>
      </c>
      <c r="X10" s="16" t="n"/>
      <c r="Y10" s="16" t="n"/>
      <c r="Z10" s="12" t="inlineStr">
        <is>
          <t>RING — confirm size + resize range. Moonstone untreated.</t>
        </is>
      </c>
    </row>
    <row r="11" ht="92" customHeight="1">
      <c r="A11" s="12" t="inlineStr">
        <is>
          <t>BG-13</t>
        </is>
      </c>
      <c r="B11" s="12" t="n"/>
      <c r="C11" s="12" t="inlineStr">
        <is>
          <t>Two rings — pink/red halo ring + vivid blue emerald-cut 3-stone ring</t>
        </is>
      </c>
      <c r="D11" s="12" t="inlineStr">
        <is>
          <t>Ring (MULTIPLE)</t>
        </is>
      </c>
      <c r="E11" s="12" t="inlineStr">
        <is>
          <t>Pink &amp; blue sapphire</t>
        </is>
      </c>
      <c r="F11" s="12" t="inlineStr">
        <is>
          <t>White gold + diamonds</t>
        </is>
      </c>
      <c r="G11" s="12" t="inlineStr">
        <is>
          <t>Y</t>
        </is>
      </c>
      <c r="H11" s="13" t="n"/>
      <c r="I11" s="13" t="n"/>
      <c r="J11" s="13" t="inlineStr"/>
      <c r="K11" s="13" t="inlineStr"/>
      <c r="L11" s="14" t="n"/>
      <c r="M11" s="14" t="n"/>
      <c r="N11" s="14" t="n"/>
      <c r="O11" s="13">
        <f>IF($L11="","",ROUND(Assumptions!$B$3*$L11,2))</f>
        <v/>
      </c>
      <c r="P11" s="14" t="n">
        <v>8</v>
      </c>
      <c r="Q11" s="13">
        <f>IF($L11="","",SUM($L11,$M11,$N11,$O11,$P11))</f>
        <v/>
      </c>
      <c r="R11" s="14" t="n"/>
      <c r="S11" s="13">
        <f>IF(OR($R11="",$Q11=""),"",$R11-$Q11)</f>
        <v/>
      </c>
      <c r="T11" s="15">
        <f>IF(OR($R11="",$S11=""),"",$S11/$R11)</f>
        <v/>
      </c>
      <c r="U11" s="16" t="inlineStr">
        <is>
          <t>resize? →</t>
        </is>
      </c>
      <c r="V11" s="16" t="n"/>
      <c r="W11" s="16" t="inlineStr"/>
      <c r="X11" s="16" t="n"/>
      <c r="Y11" s="16" t="n"/>
      <c r="Z11" s="12" t="inlineStr">
        <is>
          <t>MULTIPLE (2 rings) — itemize; blue emerald-cut is the standout.</t>
        </is>
      </c>
    </row>
    <row r="12" ht="92" customHeight="1">
      <c r="A12" s="12" t="inlineStr">
        <is>
          <t>BG-14</t>
        </is>
      </c>
      <c r="B12" s="12" t="n"/>
      <c r="C12" s="12" t="inlineStr">
        <is>
          <t>Aquamarine emerald-cut + diamond halo pendant</t>
        </is>
      </c>
      <c r="D12" s="12" t="inlineStr">
        <is>
          <t>Pendant</t>
        </is>
      </c>
      <c r="E12" s="12" t="inlineStr">
        <is>
          <t>Aquamarine</t>
        </is>
      </c>
      <c r="F12" s="12" t="inlineStr">
        <is>
          <t>Rose/white gold + diamonds</t>
        </is>
      </c>
      <c r="G12" s="12" t="inlineStr"/>
      <c r="H12" s="13" t="n">
        <v>600</v>
      </c>
      <c r="I12" s="13" t="n">
        <v>1400</v>
      </c>
      <c r="J12" s="13" t="inlineStr">
        <is>
          <t>n/a</t>
        </is>
      </c>
      <c r="K12" s="13" t="inlineStr"/>
      <c r="L12" s="14" t="n"/>
      <c r="M12" s="14" t="n"/>
      <c r="N12" s="14" t="n"/>
      <c r="O12" s="13">
        <f>IF($L12="","",ROUND(Assumptions!$B$3*$L12,2))</f>
        <v/>
      </c>
      <c r="P12" s="14" t="n">
        <v>8</v>
      </c>
      <c r="Q12" s="13">
        <f>IF($L12="","",SUM($L12,$M12,$N12,$O12,$P12))</f>
        <v/>
      </c>
      <c r="R12" s="14" t="n">
        <v>1400</v>
      </c>
      <c r="S12" s="13">
        <f>IF(OR($R12="",$Q12=""),"",$R12-$Q12)</f>
        <v/>
      </c>
      <c r="T12" s="15">
        <f>IF(OR($R12="",$S12=""),"",$S12/$R12)</f>
        <v/>
      </c>
      <c r="U12" s="16" t="inlineStr"/>
      <c r="V12" s="16" t="n"/>
      <c r="W12" s="16" t="inlineStr"/>
      <c r="X12" s="16" t="n"/>
      <c r="Y12" s="16" t="n"/>
      <c r="Z12" s="12" t="inlineStr">
        <is>
          <t>Aquamarine (not sapphire) — heat not a value axis.</t>
        </is>
      </c>
    </row>
    <row r="13" ht="92" customHeight="1">
      <c r="A13" s="12" t="inlineStr">
        <is>
          <t>BG-15</t>
        </is>
      </c>
      <c r="B13" s="12" t="n"/>
      <c r="C13" s="12" t="inlineStr">
        <is>
          <t>Ring tray — blue sapphire, padparadscha-tone &amp; ruby engagement-style rings</t>
        </is>
      </c>
      <c r="D13" s="12" t="inlineStr">
        <is>
          <t>Ring (MULTIPLE)</t>
        </is>
      </c>
      <c r="E13" s="12" t="inlineStr">
        <is>
          <t>Blue/pink/padparadscha sapphire; ruby</t>
        </is>
      </c>
      <c r="F13" s="12" t="inlineStr">
        <is>
          <t>White gold + diamonds</t>
        </is>
      </c>
      <c r="G13" s="12" t="inlineStr">
        <is>
          <t>Y</t>
        </is>
      </c>
      <c r="H13" s="13" t="n"/>
      <c r="I13" s="13" t="n"/>
      <c r="J13" s="13" t="inlineStr"/>
      <c r="K13" s="13" t="inlineStr"/>
      <c r="L13" s="14" t="n"/>
      <c r="M13" s="14" t="n"/>
      <c r="N13" s="14" t="n"/>
      <c r="O13" s="13">
        <f>IF($L13="","",ROUND(Assumptions!$B$3*$L13,2))</f>
        <v/>
      </c>
      <c r="P13" s="14" t="n">
        <v>8</v>
      </c>
      <c r="Q13" s="13">
        <f>IF($L13="","",SUM($L13,$M13,$N13,$O13,$P13))</f>
        <v/>
      </c>
      <c r="R13" s="14" t="n"/>
      <c r="S13" s="13">
        <f>IF(OR($R13="",$Q13=""),"",$R13-$Q13)</f>
        <v/>
      </c>
      <c r="T13" s="15">
        <f>IF(OR($R13="",$S13=""),"",$S13/$R13)</f>
        <v/>
      </c>
      <c r="U13" s="16" t="inlineStr">
        <is>
          <t>resize? →</t>
        </is>
      </c>
      <c r="V13" s="16" t="n"/>
      <c r="W13" s="16" t="inlineStr"/>
      <c r="X13" s="16" t="n"/>
      <c r="Y13" s="16" t="n"/>
      <c r="Z13" s="12" t="inlineStr">
        <is>
          <t>MULTIPLE — itemize; flag any padparadscha (get lab report).</t>
        </is>
      </c>
    </row>
    <row r="14" ht="92" customHeight="1">
      <c r="A14" s="12" t="inlineStr">
        <is>
          <t>BG-17</t>
        </is>
      </c>
      <c r="B14" s="12" t="n"/>
      <c r="C14" s="12" t="inlineStr">
        <is>
          <t>Ring tray — blue-sapphire halos + rainbow fancy-sapphire band</t>
        </is>
      </c>
      <c r="D14" s="12" t="inlineStr">
        <is>
          <t>Ring (MULTIPLE)</t>
        </is>
      </c>
      <c r="E14" s="12" t="inlineStr">
        <is>
          <t>Blue &amp; multi-color sapphire</t>
        </is>
      </c>
      <c r="F14" s="12" t="inlineStr">
        <is>
          <t>White/yellow gold + diamonds</t>
        </is>
      </c>
      <c r="G14" s="12" t="inlineStr">
        <is>
          <t>Y</t>
        </is>
      </c>
      <c r="H14" s="13" t="n"/>
      <c r="I14" s="13" t="n"/>
      <c r="J14" s="13" t="inlineStr"/>
      <c r="K14" s="13" t="inlineStr"/>
      <c r="L14" s="14" t="n"/>
      <c r="M14" s="14" t="n"/>
      <c r="N14" s="14" t="n"/>
      <c r="O14" s="13">
        <f>IF($L14="","",ROUND(Assumptions!$B$3*$L14,2))</f>
        <v/>
      </c>
      <c r="P14" s="14" t="n">
        <v>8</v>
      </c>
      <c r="Q14" s="13">
        <f>IF($L14="","",SUM($L14,$M14,$N14,$O14,$P14))</f>
        <v/>
      </c>
      <c r="R14" s="14" t="n"/>
      <c r="S14" s="13">
        <f>IF(OR($R14="",$Q14=""),"",$R14-$Q14)</f>
        <v/>
      </c>
      <c r="T14" s="15">
        <f>IF(OR($R14="",$S14=""),"",$S14/$R14)</f>
        <v/>
      </c>
      <c r="U14" s="16" t="inlineStr">
        <is>
          <t>resize? →</t>
        </is>
      </c>
      <c r="V14" s="16" t="n"/>
      <c r="W14" s="16" t="inlineStr"/>
      <c r="X14" s="16" t="n"/>
      <c r="Y14" s="16" t="n"/>
      <c r="Z14" s="12" t="inlineStr">
        <is>
          <t>MULTIPLE — itemize; rainbow band is distinctive.</t>
        </is>
      </c>
    </row>
    <row r="15" ht="92" customHeight="1">
      <c r="A15" s="12" t="inlineStr">
        <is>
          <t>BG-18</t>
        </is>
      </c>
      <c r="B15" s="12" t="n"/>
      <c r="C15" s="12" t="inlineStr">
        <is>
          <t>Earring board — pink &amp; blue sapphire halo studs + pear blue drops</t>
        </is>
      </c>
      <c r="D15" s="12" t="inlineStr">
        <is>
          <t>Earrings (MULTIPLE)</t>
        </is>
      </c>
      <c r="E15" s="12" t="inlineStr">
        <is>
          <t>Pink &amp; blue Ceylon sapphire</t>
        </is>
      </c>
      <c r="F15" s="12" t="inlineStr">
        <is>
          <t>White/rose gold + diamonds</t>
        </is>
      </c>
      <c r="G15" s="12" t="inlineStr"/>
      <c r="H15" s="13" t="n">
        <v>600</v>
      </c>
      <c r="I15" s="13" t="n">
        <v>1400</v>
      </c>
      <c r="J15" s="13" t="n">
        <v>1000</v>
      </c>
      <c r="K15" s="13" t="n">
        <v>2600</v>
      </c>
      <c r="L15" s="14" t="n"/>
      <c r="M15" s="14" t="n"/>
      <c r="N15" s="14" t="n"/>
      <c r="O15" s="13">
        <f>IF($L15="","",ROUND(Assumptions!$B$3*$L15,2))</f>
        <v/>
      </c>
      <c r="P15" s="14" t="n">
        <v>8</v>
      </c>
      <c r="Q15" s="13">
        <f>IF($L15="","",SUM($L15,$M15,$N15,$O15,$P15))</f>
        <v/>
      </c>
      <c r="R15" s="14" t="n">
        <v>1400</v>
      </c>
      <c r="S15" s="13">
        <f>IF(OR($R15="",$Q15=""),"",$R15-$Q15)</f>
        <v/>
      </c>
      <c r="T15" s="15">
        <f>IF(OR($R15="",$S15=""),"",$S15/$R15)</f>
        <v/>
      </c>
      <c r="U15" s="16" t="inlineStr"/>
      <c r="V15" s="16" t="n"/>
      <c r="W15" s="16" t="inlineStr"/>
      <c r="X15" s="16" t="n"/>
      <c r="Y15" s="16" t="n"/>
      <c r="Z15" s="12" t="inlineStr">
        <is>
          <t>Prices are per pair. Itemize the 3 styles.</t>
        </is>
      </c>
    </row>
    <row r="16" ht="92" customHeight="1">
      <c r="A16" s="12" t="inlineStr">
        <is>
          <t>BG-19</t>
        </is>
      </c>
      <c r="B16" s="12" t="n"/>
      <c r="C16" s="12" t="inlineStr">
        <is>
          <t>Rainbow fancy-sapphire heart station necklace (emerald pendant also in frame)</t>
        </is>
      </c>
      <c r="D16" s="12" t="inlineStr">
        <is>
          <t>Necklace</t>
        </is>
      </c>
      <c r="E16" s="12" t="inlineStr">
        <is>
          <t>Multi-color fancy sapphire</t>
        </is>
      </c>
      <c r="F16" s="12" t="inlineStr">
        <is>
          <t>White gold + diamonds</t>
        </is>
      </c>
      <c r="G16" s="12" t="inlineStr"/>
      <c r="H16" s="13" t="n">
        <v>2000</v>
      </c>
      <c r="I16" s="13" t="n">
        <v>4500</v>
      </c>
      <c r="J16" s="13" t="n">
        <v>2300</v>
      </c>
      <c r="K16" s="13" t="n">
        <v>5200</v>
      </c>
      <c r="L16" s="14" t="n"/>
      <c r="M16" s="14" t="n"/>
      <c r="N16" s="14" t="n"/>
      <c r="O16" s="13">
        <f>IF($L16="","",ROUND(Assumptions!$B$3*$L16,2))</f>
        <v/>
      </c>
      <c r="P16" s="14" t="n">
        <v>8</v>
      </c>
      <c r="Q16" s="13">
        <f>IF($L16="","",SUM($L16,$M16,$N16,$O16,$P16))</f>
        <v/>
      </c>
      <c r="R16" s="14" t="n">
        <v>4500</v>
      </c>
      <c r="S16" s="13">
        <f>IF(OR($R16="",$Q16=""),"",$R16-$Q16)</f>
        <v/>
      </c>
      <c r="T16" s="15">
        <f>IF(OR($R16="",$S16=""),"",$S16/$R16)</f>
        <v/>
      </c>
      <c r="U16" s="16" t="inlineStr"/>
      <c r="V16" s="16" t="n"/>
      <c r="W16" s="16" t="inlineStr"/>
      <c r="X16" s="16" t="n"/>
      <c r="Y16" s="16" t="n"/>
      <c r="Z16" s="12" t="inlineStr">
        <is>
          <t>Feature = heart necklace; emerald pendant in frame is separate.</t>
        </is>
      </c>
    </row>
    <row r="17" ht="92" customHeight="1">
      <c r="A17" s="12" t="inlineStr">
        <is>
          <t>BG-20</t>
        </is>
      </c>
      <c r="B17" s="12" t="n"/>
      <c r="C17" s="12" t="inlineStr">
        <is>
          <t>Blue sapphire chandelier / cluster drop earrings</t>
        </is>
      </c>
      <c r="D17" s="12" t="inlineStr">
        <is>
          <t>Earrings</t>
        </is>
      </c>
      <c r="E17" s="12" t="inlineStr">
        <is>
          <t>Blue Ceylon sapphire</t>
        </is>
      </c>
      <c r="F17" s="12" t="inlineStr">
        <is>
          <t>18k white gold + diamonds</t>
        </is>
      </c>
      <c r="G17" s="12" t="inlineStr"/>
      <c r="H17" s="13" t="n">
        <v>1800</v>
      </c>
      <c r="I17" s="13" t="n">
        <v>3800</v>
      </c>
      <c r="J17" s="13" t="n">
        <v>2800</v>
      </c>
      <c r="K17" s="13" t="n">
        <v>6500</v>
      </c>
      <c r="L17" s="14" t="n"/>
      <c r="M17" s="14" t="n"/>
      <c r="N17" s="14" t="n"/>
      <c r="O17" s="13">
        <f>IF($L17="","",ROUND(Assumptions!$B$3*$L17,2))</f>
        <v/>
      </c>
      <c r="P17" s="14" t="n">
        <v>8</v>
      </c>
      <c r="Q17" s="13">
        <f>IF($L17="","",SUM($L17,$M17,$N17,$O17,$P17))</f>
        <v/>
      </c>
      <c r="R17" s="14" t="n">
        <v>3800</v>
      </c>
      <c r="S17" s="13">
        <f>IF(OR($R17="",$Q17=""),"",$R17-$Q17)</f>
        <v/>
      </c>
      <c r="T17" s="15">
        <f>IF(OR($R17="",$S17=""),"",$S17/$R17)</f>
        <v/>
      </c>
      <c r="U17" s="16" t="inlineStr"/>
      <c r="V17" s="16" t="n"/>
      <c r="W17" s="16" t="inlineStr"/>
      <c r="X17" s="16" t="n"/>
      <c r="Y17" s="16" t="n"/>
      <c r="Z17" s="12" t="inlineStr">
        <is>
          <t>Confirm total sapphire + diamond ct.</t>
        </is>
      </c>
    </row>
    <row r="18" ht="92" customHeight="1">
      <c r="A18" s="12" t="inlineStr">
        <is>
          <t>BG-22</t>
        </is>
      </c>
      <c r="B18" s="12" t="n"/>
      <c r="C18" s="12" t="inlineStr">
        <is>
          <t>Rainbow invisible-set princess-cut sapphire bracelet</t>
        </is>
      </c>
      <c r="D18" s="12" t="inlineStr">
        <is>
          <t>Bracelet</t>
        </is>
      </c>
      <c r="E18" s="12" t="inlineStr">
        <is>
          <t>Multi-color fancy sapphire</t>
        </is>
      </c>
      <c r="F18" s="12" t="inlineStr">
        <is>
          <t>Yellow gold + diamonds</t>
        </is>
      </c>
      <c r="G18" s="12" t="inlineStr"/>
      <c r="H18" s="13" t="n">
        <v>3000</v>
      </c>
      <c r="I18" s="13" t="n">
        <v>6500</v>
      </c>
      <c r="J18" s="13" t="n">
        <v>3300</v>
      </c>
      <c r="K18" s="13" t="n">
        <v>7500</v>
      </c>
      <c r="L18" s="14" t="n"/>
      <c r="M18" s="14" t="n"/>
      <c r="N18" s="14" t="n"/>
      <c r="O18" s="13">
        <f>IF($L18="","",ROUND(Assumptions!$B$3*$L18,2))</f>
        <v/>
      </c>
      <c r="P18" s="14" t="n">
        <v>8</v>
      </c>
      <c r="Q18" s="13">
        <f>IF($L18="","",SUM($L18,$M18,$N18,$O18,$P18))</f>
        <v/>
      </c>
      <c r="R18" s="14" t="n">
        <v>6500</v>
      </c>
      <c r="S18" s="13">
        <f>IF(OR($R18="",$Q18=""),"",$R18-$Q18)</f>
        <v/>
      </c>
      <c r="T18" s="15">
        <f>IF(OR($R18="",$S18=""),"",$S18/$R18)</f>
        <v/>
      </c>
      <c r="U18" s="16" t="inlineStr"/>
      <c r="V18" s="16" t="n"/>
      <c r="W18" s="16" t="inlineStr"/>
      <c r="X18" s="16" t="n"/>
      <c r="Y18" s="16" t="n"/>
      <c r="Z18" s="12" t="inlineStr">
        <is>
          <t>Fancy melee — heat minor; confirm cttw.</t>
        </is>
      </c>
    </row>
    <row r="19" ht="92" customHeight="1">
      <c r="A19" s="12" t="inlineStr">
        <is>
          <t>BG-23</t>
        </is>
      </c>
      <c r="B19" s="12" t="n"/>
      <c r="C19" s="12" t="inlineStr">
        <is>
          <t>Pink sapphire pear pendant, pale/galaxy halo (rose gold)</t>
        </is>
      </c>
      <c r="D19" s="12" t="inlineStr">
        <is>
          <t>Pendant</t>
        </is>
      </c>
      <c r="E19" s="12" t="inlineStr">
        <is>
          <t>Pink Ceylon sapphire</t>
        </is>
      </c>
      <c r="F19" s="12" t="inlineStr">
        <is>
          <t>Rose gold + diamonds</t>
        </is>
      </c>
      <c r="G19" s="12" t="inlineStr"/>
      <c r="H19" s="13" t="n">
        <v>800</v>
      </c>
      <c r="I19" s="13" t="n">
        <v>1800</v>
      </c>
      <c r="J19" s="13" t="n">
        <v>1300</v>
      </c>
      <c r="K19" s="13" t="n">
        <v>2900</v>
      </c>
      <c r="L19" s="14" t="n"/>
      <c r="M19" s="14" t="n"/>
      <c r="N19" s="14" t="n"/>
      <c r="O19" s="13">
        <f>IF($L19="","",ROUND(Assumptions!$B$3*$L19,2))</f>
        <v/>
      </c>
      <c r="P19" s="14" t="n">
        <v>8</v>
      </c>
      <c r="Q19" s="13">
        <f>IF($L19="","",SUM($L19,$M19,$N19,$O19,$P19))</f>
        <v/>
      </c>
      <c r="R19" s="14" t="n">
        <v>1800</v>
      </c>
      <c r="S19" s="13">
        <f>IF(OR($R19="",$Q19=""),"",$R19-$Q19)</f>
        <v/>
      </c>
      <c r="T19" s="15">
        <f>IF(OR($R19="",$S19=""),"",$S19/$R19)</f>
        <v/>
      </c>
      <c r="U19" s="16" t="inlineStr"/>
      <c r="V19" s="16" t="n"/>
      <c r="W19" s="16" t="inlineStr"/>
      <c r="X19" s="16" t="n"/>
      <c r="Y19" s="16" t="n"/>
      <c r="Z19" s="12" t="inlineStr">
        <is>
          <t>Other pendants visible in frame are separate.</t>
        </is>
      </c>
    </row>
    <row r="20" ht="92" customHeight="1">
      <c r="A20" s="12" t="inlineStr">
        <is>
          <t>BG-24</t>
        </is>
      </c>
      <c r="B20" s="12" t="n"/>
      <c r="C20" s="12" t="inlineStr">
        <is>
          <t>Pink sapphire pear in openwork compass/star rose-gold pendant</t>
        </is>
      </c>
      <c r="D20" s="12" t="inlineStr">
        <is>
          <t>Pendant</t>
        </is>
      </c>
      <c r="E20" s="12" t="inlineStr">
        <is>
          <t>Pink Ceylon sapphire</t>
        </is>
      </c>
      <c r="F20" s="12" t="inlineStr">
        <is>
          <t>Rose gold + diamonds</t>
        </is>
      </c>
      <c r="G20" s="12" t="inlineStr"/>
      <c r="H20" s="13" t="n">
        <v>700</v>
      </c>
      <c r="I20" s="13" t="n">
        <v>1500</v>
      </c>
      <c r="J20" s="13" t="n">
        <v>1100</v>
      </c>
      <c r="K20" s="13" t="n">
        <v>2400</v>
      </c>
      <c r="L20" s="14" t="n"/>
      <c r="M20" s="14" t="n"/>
      <c r="N20" s="14" t="n"/>
      <c r="O20" s="13">
        <f>IF($L20="","",ROUND(Assumptions!$B$3*$L20,2))</f>
        <v/>
      </c>
      <c r="P20" s="14" t="n">
        <v>8</v>
      </c>
      <c r="Q20" s="13">
        <f>IF($L20="","",SUM($L20,$M20,$N20,$O20,$P20))</f>
        <v/>
      </c>
      <c r="R20" s="14" t="n">
        <v>1500</v>
      </c>
      <c r="S20" s="13">
        <f>IF(OR($R20="",$Q20=""),"",$R20-$Q20)</f>
        <v/>
      </c>
      <c r="T20" s="15">
        <f>IF(OR($R20="",$S20=""),"",$S20/$R20)</f>
        <v/>
      </c>
      <c r="U20" s="16" t="inlineStr"/>
      <c r="V20" s="16" t="n"/>
      <c r="W20" s="16" t="inlineStr"/>
      <c r="X20" s="16" t="n"/>
      <c r="Y20" s="16" t="n"/>
      <c r="Z20" s="12" t="inlineStr">
        <is>
          <t>Dainty; confirm carat.</t>
        </is>
      </c>
    </row>
    <row r="21" ht="92" customHeight="1">
      <c r="A21" s="12" t="inlineStr">
        <is>
          <t>BG-25</t>
        </is>
      </c>
      <c r="B21" s="12" t="n"/>
      <c r="C21" s="12" t="inlineStr">
        <is>
          <t>Emerald-cut vivid blue sapphire diamond-halo cocktail ring</t>
        </is>
      </c>
      <c r="D21" s="12" t="inlineStr">
        <is>
          <t>Ring</t>
        </is>
      </c>
      <c r="E21" s="12" t="inlineStr">
        <is>
          <t>Blue Ceylon sapphire</t>
        </is>
      </c>
      <c r="F21" s="12" t="inlineStr">
        <is>
          <t>18k white gold + diamonds</t>
        </is>
      </c>
      <c r="G21" s="12" t="inlineStr">
        <is>
          <t>Y</t>
        </is>
      </c>
      <c r="H21" s="13" t="n">
        <v>3500</v>
      </c>
      <c r="I21" s="13" t="n">
        <v>6500</v>
      </c>
      <c r="J21" s="13" t="n">
        <v>9000</v>
      </c>
      <c r="K21" s="13" t="n">
        <v>20000</v>
      </c>
      <c r="L21" s="14" t="n"/>
      <c r="M21" s="14" t="n"/>
      <c r="N21" s="14" t="n"/>
      <c r="O21" s="13">
        <f>IF($L21="","",ROUND(Assumptions!$B$3*$L21,2))</f>
        <v/>
      </c>
      <c r="P21" s="14" t="n">
        <v>8</v>
      </c>
      <c r="Q21" s="13">
        <f>IF($L21="","",SUM($L21,$M21,$N21,$O21,$P21))</f>
        <v/>
      </c>
      <c r="R21" s="14" t="n">
        <v>6500</v>
      </c>
      <c r="S21" s="13">
        <f>IF(OR($R21="",$Q21=""),"",$R21-$Q21)</f>
        <v/>
      </c>
      <c r="T21" s="15">
        <f>IF(OR($R21="",$S21=""),"",$S21/$R21)</f>
        <v/>
      </c>
      <c r="U21" s="16" t="inlineStr">
        <is>
          <t>resize? →</t>
        </is>
      </c>
      <c r="V21" s="16" t="n"/>
      <c r="W21" s="16" t="inlineStr"/>
      <c r="X21" s="16" t="n"/>
      <c r="Y21" s="16" t="n"/>
      <c r="Z21" s="12" t="inlineStr">
        <is>
          <t>HERO. RING — size+resize. Unheated+report multiplies value.</t>
        </is>
      </c>
    </row>
    <row r="22" ht="92" customHeight="1">
      <c r="A22" s="12" t="inlineStr">
        <is>
          <t>BG-26</t>
        </is>
      </c>
      <c r="B22" s="12" t="n"/>
      <c r="C22" s="12" t="inlineStr">
        <is>
          <t>Vivid pink sapphire marquise-halo sunburst pendant</t>
        </is>
      </c>
      <c r="D22" s="12" t="inlineStr">
        <is>
          <t>Pendant</t>
        </is>
      </c>
      <c r="E22" s="12" t="inlineStr">
        <is>
          <t>Pink Ceylon sapphire</t>
        </is>
      </c>
      <c r="F22" s="12" t="inlineStr">
        <is>
          <t>White gold + diamonds</t>
        </is>
      </c>
      <c r="G22" s="12" t="inlineStr"/>
      <c r="H22" s="13" t="n">
        <v>1400</v>
      </c>
      <c r="I22" s="13" t="n">
        <v>3200</v>
      </c>
      <c r="J22" s="13" t="n">
        <v>2400</v>
      </c>
      <c r="K22" s="13" t="n">
        <v>5500</v>
      </c>
      <c r="L22" s="14" t="n"/>
      <c r="M22" s="14" t="n"/>
      <c r="N22" s="14" t="n"/>
      <c r="O22" s="13">
        <f>IF($L22="","",ROUND(Assumptions!$B$3*$L22,2))</f>
        <v/>
      </c>
      <c r="P22" s="14" t="n">
        <v>8</v>
      </c>
      <c r="Q22" s="13">
        <f>IF($L22="","",SUM($L22,$M22,$N22,$O22,$P22))</f>
        <v/>
      </c>
      <c r="R22" s="14" t="n">
        <v>3200</v>
      </c>
      <c r="S22" s="13">
        <f>IF(OR($R22="",$Q22=""),"",$R22-$Q22)</f>
        <v/>
      </c>
      <c r="T22" s="15">
        <f>IF(OR($R22="",$S22=""),"",$S22/$R22)</f>
        <v/>
      </c>
      <c r="U22" s="16" t="inlineStr"/>
      <c r="V22" s="16" t="n"/>
      <c r="W22" s="16" t="inlineStr"/>
      <c r="X22" s="16" t="n"/>
      <c r="Y22" s="16" t="n"/>
      <c r="Z22" s="12" t="inlineStr">
        <is>
          <t>Pink premium real but &lt; blue.</t>
        </is>
      </c>
    </row>
    <row r="23" ht="92" customHeight="1">
      <c r="A23" s="12" t="inlineStr">
        <is>
          <t>BG-27</t>
        </is>
      </c>
      <c r="B23" s="12" t="n"/>
      <c r="C23" s="12" t="inlineStr">
        <is>
          <t>Sri Lanka map pendant (pavé diamond outline + sapphire)</t>
        </is>
      </c>
      <c r="D23" s="12" t="inlineStr">
        <is>
          <t>Pendant</t>
        </is>
      </c>
      <c r="E23" s="12" t="inlineStr">
        <is>
          <t>Blue sapphire accent</t>
        </is>
      </c>
      <c r="F23" s="12" t="inlineStr">
        <is>
          <t>Yellow gold + diamonds</t>
        </is>
      </c>
      <c r="G23" s="12" t="inlineStr"/>
      <c r="H23" s="13" t="n">
        <v>700</v>
      </c>
      <c r="I23" s="13" t="n">
        <v>1600</v>
      </c>
      <c r="J23" s="13" t="n">
        <v>750</v>
      </c>
      <c r="K23" s="13" t="n">
        <v>1700</v>
      </c>
      <c r="L23" s="14" t="n"/>
      <c r="M23" s="14" t="n"/>
      <c r="N23" s="14" t="n"/>
      <c r="O23" s="13">
        <f>IF($L23="","",ROUND(Assumptions!$B$3*$L23,2))</f>
        <v/>
      </c>
      <c r="P23" s="14" t="n">
        <v>8</v>
      </c>
      <c r="Q23" s="13">
        <f>IF($L23="","",SUM($L23,$M23,$N23,$O23,$P23))</f>
        <v/>
      </c>
      <c r="R23" s="14" t="n">
        <v>1600</v>
      </c>
      <c r="S23" s="13">
        <f>IF(OR($R23="",$Q23=""),"",$R23-$Q23)</f>
        <v/>
      </c>
      <c r="T23" s="15">
        <f>IF(OR($R23="",$S23=""),"",$S23/$R23)</f>
        <v/>
      </c>
      <c r="U23" s="16" t="inlineStr"/>
      <c r="V23" s="16" t="n"/>
      <c r="W23" s="16" t="inlineStr"/>
      <c r="X23" s="16" t="n"/>
      <c r="Y23" s="16" t="n"/>
      <c r="Z23" s="12" t="inlineStr">
        <is>
          <t>Signature story piece; heat immaterial.</t>
        </is>
      </c>
    </row>
    <row r="24" ht="92" customHeight="1">
      <c r="A24" s="12" t="inlineStr">
        <is>
          <t>BG-28</t>
        </is>
      </c>
      <c r="B24" s="12" t="n"/>
      <c r="C24" s="12" t="inlineStr">
        <is>
          <t>Overview photo — display cases + loose certified stones</t>
        </is>
      </c>
      <c r="D24" s="12" t="inlineStr">
        <is>
          <t>(Overview)</t>
        </is>
      </c>
      <c r="E24" s="12" t="inlineStr">
        <is>
          <t>Mixed / loose stones</t>
        </is>
      </c>
      <c r="F24" s="12" t="inlineStr">
        <is>
          <t>—</t>
        </is>
      </c>
      <c r="G24" s="12" t="inlineStr"/>
      <c r="H24" s="13" t="n"/>
      <c r="I24" s="13" t="n"/>
      <c r="J24" s="13" t="inlineStr"/>
      <c r="K24" s="13" t="inlineStr"/>
      <c r="L24" s="14" t="n"/>
      <c r="M24" s="14" t="n"/>
      <c r="N24" s="14" t="n"/>
      <c r="O24" s="13">
        <f>IF($L24="","",ROUND(Assumptions!$B$3*$L24,2))</f>
        <v/>
      </c>
      <c r="P24" s="14" t="n"/>
      <c r="Q24" s="13">
        <f>IF($L24="","",SUM($L24,$M24,$N24,$O24,$P24))</f>
        <v/>
      </c>
      <c r="R24" s="14" t="n"/>
      <c r="S24" s="13">
        <f>IF(OR($R24="",$Q24=""),"",$R24-$Q24)</f>
        <v/>
      </c>
      <c r="T24" s="15">
        <f>IF(OR($R24="",$S24=""),"",$S24/$R24)</f>
        <v/>
      </c>
      <c r="U24" s="16" t="inlineStr"/>
      <c r="V24" s="16" t="n"/>
      <c r="W24" s="16" t="inlineStr"/>
      <c r="X24" s="16" t="n"/>
      <c r="Y24" s="16" t="n"/>
      <c r="Z24" s="12" t="inlineStr">
        <is>
          <t>Not a single listing item — reference only.</t>
        </is>
      </c>
    </row>
    <row r="25" ht="92" customHeight="1">
      <c r="A25" s="12" t="inlineStr">
        <is>
          <t>BG-32</t>
        </is>
      </c>
      <c r="B25" s="12" t="n"/>
      <c r="C25" s="12" t="inlineStr">
        <is>
          <t>Blue star sapphire cabochon diamond-halo ring</t>
        </is>
      </c>
      <c r="D25" s="12" t="inlineStr">
        <is>
          <t>Ring</t>
        </is>
      </c>
      <c r="E25" s="12" t="inlineStr">
        <is>
          <t>Blue star sapphire</t>
        </is>
      </c>
      <c r="F25" s="12" t="inlineStr">
        <is>
          <t>White gold + diamonds</t>
        </is>
      </c>
      <c r="G25" s="12" t="inlineStr">
        <is>
          <t>Y</t>
        </is>
      </c>
      <c r="H25" s="13" t="n">
        <v>1500</v>
      </c>
      <c r="I25" s="13" t="n">
        <v>4000</v>
      </c>
      <c r="J25" s="13" t="n">
        <v>2000</v>
      </c>
      <c r="K25" s="13" t="n">
        <v>5500</v>
      </c>
      <c r="L25" s="14" t="n"/>
      <c r="M25" s="14" t="n"/>
      <c r="N25" s="14" t="n"/>
      <c r="O25" s="13">
        <f>IF($L25="","",ROUND(Assumptions!$B$3*$L25,2))</f>
        <v/>
      </c>
      <c r="P25" s="14" t="n">
        <v>8</v>
      </c>
      <c r="Q25" s="13">
        <f>IF($L25="","",SUM($L25,$M25,$N25,$O25,$P25))</f>
        <v/>
      </c>
      <c r="R25" s="14" t="n">
        <v>4000</v>
      </c>
      <c r="S25" s="13">
        <f>IF(OR($R25="",$Q25=""),"",$R25-$Q25)</f>
        <v/>
      </c>
      <c r="T25" s="15">
        <f>IF(OR($R25="",$S25=""),"",$S25/$R25)</f>
        <v/>
      </c>
      <c r="U25" s="16" t="inlineStr">
        <is>
          <t>resize? →</t>
        </is>
      </c>
      <c r="V25" s="16" t="n"/>
      <c r="W25" s="16" t="inlineStr"/>
      <c r="X25" s="16" t="n"/>
      <c r="Y25" s="16" t="n"/>
      <c r="Z25" s="12" t="inlineStr">
        <is>
          <t>RING. Star: value axis = NO diffusion + sharp centered star.</t>
        </is>
      </c>
    </row>
    <row r="26" ht="92" customHeight="1">
      <c r="A26" s="12" t="inlineStr">
        <is>
          <t>BG-34</t>
        </is>
      </c>
      <c r="B26" s="12" t="n"/>
      <c r="C26" s="12" t="inlineStr">
        <is>
          <t>Aquamarine emerald-cut (~8-10ct) diamond-halo cocktail ring</t>
        </is>
      </c>
      <c r="D26" s="12" t="inlineStr">
        <is>
          <t>Ring</t>
        </is>
      </c>
      <c r="E26" s="12" t="inlineStr">
        <is>
          <t>Aquamarine</t>
        </is>
      </c>
      <c r="F26" s="12" t="inlineStr">
        <is>
          <t>Yellow gold + diamonds</t>
        </is>
      </c>
      <c r="G26" s="12" t="inlineStr">
        <is>
          <t>Y</t>
        </is>
      </c>
      <c r="H26" s="13" t="n">
        <v>1500</v>
      </c>
      <c r="I26" s="13" t="n">
        <v>3500</v>
      </c>
      <c r="J26" s="13" t="inlineStr">
        <is>
          <t>n/a</t>
        </is>
      </c>
      <c r="K26" s="13" t="inlineStr"/>
      <c r="L26" s="14" t="n"/>
      <c r="M26" s="14" t="n"/>
      <c r="N26" s="14" t="n"/>
      <c r="O26" s="13">
        <f>IF($L26="","",ROUND(Assumptions!$B$3*$L26,2))</f>
        <v/>
      </c>
      <c r="P26" s="14" t="n">
        <v>8</v>
      </c>
      <c r="Q26" s="13">
        <f>IF($L26="","",SUM($L26,$M26,$N26,$O26,$P26))</f>
        <v/>
      </c>
      <c r="R26" s="14" t="n">
        <v>3500</v>
      </c>
      <c r="S26" s="13">
        <f>IF(OR($R26="",$Q26=""),"",$R26-$Q26)</f>
        <v/>
      </c>
      <c r="T26" s="15">
        <f>IF(OR($R26="",$S26=""),"",$S26/$R26)</f>
        <v/>
      </c>
      <c r="U26" s="16" t="inlineStr">
        <is>
          <t>resize? →</t>
        </is>
      </c>
      <c r="V26" s="16" t="n"/>
      <c r="W26" s="16" t="inlineStr"/>
      <c r="X26" s="16" t="n"/>
      <c r="Y26" s="16" t="n"/>
      <c r="Z26" s="12" t="inlineStr">
        <is>
          <t>Aquamarine (not sapphire). RING — size+resize.</t>
        </is>
      </c>
    </row>
    <row r="27" ht="92" customHeight="1">
      <c r="A27" s="12" t="inlineStr">
        <is>
          <t>BG-35</t>
        </is>
      </c>
      <c r="B27" s="12" t="n"/>
      <c r="C27" s="12" t="inlineStr">
        <is>
          <t>Ring tray — emerald bezel inlay rings (MOP / onyx / lapis)</t>
        </is>
      </c>
      <c r="D27" s="12" t="inlineStr">
        <is>
          <t>Ring (MULTIPLE)</t>
        </is>
      </c>
      <c r="E27" s="12" t="inlineStr">
        <is>
          <t>Emerald + inlay</t>
        </is>
      </c>
      <c r="F27" s="12" t="inlineStr">
        <is>
          <t>Gold</t>
        </is>
      </c>
      <c r="G27" s="12" t="inlineStr">
        <is>
          <t>Y</t>
        </is>
      </c>
      <c r="H27" s="13" t="n"/>
      <c r="I27" s="13" t="n"/>
      <c r="J27" s="13" t="inlineStr"/>
      <c r="K27" s="13" t="inlineStr"/>
      <c r="L27" s="14" t="n"/>
      <c r="M27" s="14" t="n"/>
      <c r="N27" s="14" t="n"/>
      <c r="O27" s="13">
        <f>IF($L27="","",ROUND(Assumptions!$B$3*$L27,2))</f>
        <v/>
      </c>
      <c r="P27" s="14" t="n">
        <v>8</v>
      </c>
      <c r="Q27" s="13">
        <f>IF($L27="","",SUM($L27,$M27,$N27,$O27,$P27))</f>
        <v/>
      </c>
      <c r="R27" s="14" t="n"/>
      <c r="S27" s="13">
        <f>IF(OR($R27="",$Q27=""),"",$R27-$Q27)</f>
        <v/>
      </c>
      <c r="T27" s="15">
        <f>IF(OR($R27="",$S27=""),"",$S27/$R27)</f>
        <v/>
      </c>
      <c r="U27" s="16" t="inlineStr">
        <is>
          <t>resize? →</t>
        </is>
      </c>
      <c r="V27" s="16" t="n"/>
      <c r="W27" s="16" t="inlineStr"/>
      <c r="X27" s="16" t="n"/>
      <c r="Y27" s="16" t="n"/>
      <c r="Z27" s="12" t="inlineStr">
        <is>
          <t>MULTIPLE (~5 rings) — itemize; ask emerald oiling/clarity.</t>
        </is>
      </c>
    </row>
    <row r="28" ht="92" customHeight="1">
      <c r="A28" s="12" t="inlineStr">
        <is>
          <t>BG-38</t>
        </is>
      </c>
      <c r="B28" s="12" t="n"/>
      <c r="C28" s="12" t="inlineStr">
        <is>
          <t>Blue sapphire open-teardrop chandelier drop earrings (18k WG)</t>
        </is>
      </c>
      <c r="D28" s="12" t="inlineStr">
        <is>
          <t>Earrings</t>
        </is>
      </c>
      <c r="E28" s="12" t="inlineStr">
        <is>
          <t>Blue Ceylon sapphire</t>
        </is>
      </c>
      <c r="F28" s="12" t="inlineStr">
        <is>
          <t>18k white gold + diamonds</t>
        </is>
      </c>
      <c r="G28" s="12" t="inlineStr"/>
      <c r="H28" s="13" t="n">
        <v>1800</v>
      </c>
      <c r="I28" s="13" t="n">
        <v>3800</v>
      </c>
      <c r="J28" s="13" t="n">
        <v>2800</v>
      </c>
      <c r="K28" s="13" t="n">
        <v>6500</v>
      </c>
      <c r="L28" s="14" t="n"/>
      <c r="M28" s="14" t="n"/>
      <c r="N28" s="14" t="n"/>
      <c r="O28" s="13">
        <f>IF($L28="","",ROUND(Assumptions!$B$3*$L28,2))</f>
        <v/>
      </c>
      <c r="P28" s="14" t="n">
        <v>8</v>
      </c>
      <c r="Q28" s="13">
        <f>IF($L28="","",SUM($L28,$M28,$N28,$O28,$P28))</f>
        <v/>
      </c>
      <c r="R28" s="14" t="n">
        <v>3800</v>
      </c>
      <c r="S28" s="13">
        <f>IF(OR($R28="",$Q28=""),"",$R28-$Q28)</f>
        <v/>
      </c>
      <c r="T28" s="15">
        <f>IF(OR($R28="",$S28=""),"",$S28/$R28)</f>
        <v/>
      </c>
      <c r="U28" s="16" t="inlineStr"/>
      <c r="V28" s="16" t="n"/>
      <c r="W28" s="16" t="inlineStr"/>
      <c r="X28" s="16" t="n"/>
      <c r="Y28" s="16" t="n"/>
      <c r="Z28" s="12" t="inlineStr">
        <is>
          <t>Bridal statement; confirm cttw.</t>
        </is>
      </c>
    </row>
    <row r="29" ht="92" customHeight="1">
      <c r="A29" s="12" t="inlineStr">
        <is>
          <t>BG-40</t>
        </is>
      </c>
      <c r="B29" s="12" t="n"/>
      <c r="C29" s="12" t="inlineStr">
        <is>
          <t>Lavender/violet star sapphire cabochon diamond-halo rings (pair)</t>
        </is>
      </c>
      <c r="D29" s="12" t="inlineStr">
        <is>
          <t>Ring (MULTIPLE)</t>
        </is>
      </c>
      <c r="E29" s="12" t="inlineStr">
        <is>
          <t>Star sapphire (violet/grey)</t>
        </is>
      </c>
      <c r="F29" s="12" t="inlineStr">
        <is>
          <t>Platinum/white gold + diamonds</t>
        </is>
      </c>
      <c r="G29" s="12" t="inlineStr">
        <is>
          <t>Y</t>
        </is>
      </c>
      <c r="H29" s="13" t="n">
        <v>1500</v>
      </c>
      <c r="I29" s="13" t="n">
        <v>4000</v>
      </c>
      <c r="J29" s="13" t="n">
        <v>2000</v>
      </c>
      <c r="K29" s="13" t="n">
        <v>5500</v>
      </c>
      <c r="L29" s="14" t="n"/>
      <c r="M29" s="14" t="n"/>
      <c r="N29" s="14" t="n"/>
      <c r="O29" s="13">
        <f>IF($L29="","",ROUND(Assumptions!$B$3*$L29,2))</f>
        <v/>
      </c>
      <c r="P29" s="14" t="n">
        <v>8</v>
      </c>
      <c r="Q29" s="13">
        <f>IF($L29="","",SUM($L29,$M29,$N29,$O29,$P29))</f>
        <v/>
      </c>
      <c r="R29" s="14" t="n">
        <v>4000</v>
      </c>
      <c r="S29" s="13">
        <f>IF(OR($R29="",$Q29=""),"",$R29-$Q29)</f>
        <v/>
      </c>
      <c r="T29" s="15">
        <f>IF(OR($R29="",$S29=""),"",$S29/$R29)</f>
        <v/>
      </c>
      <c r="U29" s="16" t="inlineStr">
        <is>
          <t>resize? →</t>
        </is>
      </c>
      <c r="V29" s="16" t="n"/>
      <c r="W29" s="16" t="inlineStr"/>
      <c r="X29" s="16" t="n"/>
      <c r="Y29" s="16" t="n"/>
      <c r="Z29" s="12" t="inlineStr">
        <is>
          <t>Prices PER RING. Star: no-diffusion + sharp star. Size+resize.</t>
        </is>
      </c>
    </row>
    <row r="30" ht="92" customHeight="1">
      <c r="A30" s="12" t="inlineStr">
        <is>
          <t>BG-43</t>
        </is>
      </c>
      <c r="B30" s="12" t="n"/>
      <c r="C30" s="12" t="inlineStr">
        <is>
          <t>Ring tray — emerald-cut blue halo + double-sapphire pendant-ring + cat's-eye halo</t>
        </is>
      </c>
      <c r="D30" s="12" t="inlineStr">
        <is>
          <t>Ring (MULTIPLE)</t>
        </is>
      </c>
      <c r="E30" s="12" t="inlineStr">
        <is>
          <t>Blue sapphire / moonstone</t>
        </is>
      </c>
      <c r="F30" s="12" t="inlineStr">
        <is>
          <t>White gold + diamonds</t>
        </is>
      </c>
      <c r="G30" s="12" t="inlineStr">
        <is>
          <t>Y</t>
        </is>
      </c>
      <c r="H30" s="13" t="n"/>
      <c r="I30" s="13" t="n"/>
      <c r="J30" s="13" t="inlineStr"/>
      <c r="K30" s="13" t="inlineStr"/>
      <c r="L30" s="14" t="n"/>
      <c r="M30" s="14" t="n"/>
      <c r="N30" s="14" t="n"/>
      <c r="O30" s="13">
        <f>IF($L30="","",ROUND(Assumptions!$B$3*$L30,2))</f>
        <v/>
      </c>
      <c r="P30" s="14" t="n">
        <v>8</v>
      </c>
      <c r="Q30" s="13">
        <f>IF($L30="","",SUM($L30,$M30,$N30,$O30,$P30))</f>
        <v/>
      </c>
      <c r="R30" s="14" t="n"/>
      <c r="S30" s="13">
        <f>IF(OR($R30="",$Q30=""),"",$R30-$Q30)</f>
        <v/>
      </c>
      <c r="T30" s="15">
        <f>IF(OR($R30="",$S30=""),"",$S30/$R30)</f>
        <v/>
      </c>
      <c r="U30" s="16" t="inlineStr">
        <is>
          <t>resize? →</t>
        </is>
      </c>
      <c r="V30" s="16" t="n"/>
      <c r="W30" s="16" t="inlineStr"/>
      <c r="X30" s="16" t="n"/>
      <c r="Y30" s="16" t="n"/>
      <c r="Z30" s="12" t="inlineStr">
        <is>
          <t>MULTIPLE — itemize.</t>
        </is>
      </c>
    </row>
    <row r="31" ht="92" customHeight="1">
      <c r="A31" s="12" t="inlineStr">
        <is>
          <t>BG-44</t>
        </is>
      </c>
      <c r="B31" s="12" t="n"/>
      <c r="C31" s="12" t="inlineStr">
        <is>
          <t>Bracelet tray — multi-sapphire, emerald &amp; rainbow tennis/line bracelets</t>
        </is>
      </c>
      <c r="D31" s="12" t="inlineStr">
        <is>
          <t>Bracelet (MULTIPLE)</t>
        </is>
      </c>
      <c r="E31" s="12" t="inlineStr">
        <is>
          <t>Sapphire / emerald</t>
        </is>
      </c>
      <c r="F31" s="12" t="inlineStr">
        <is>
          <t>Gold + diamonds</t>
        </is>
      </c>
      <c r="G31" s="12" t="inlineStr"/>
      <c r="H31" s="13" t="n"/>
      <c r="I31" s="13" t="n"/>
      <c r="J31" s="13" t="inlineStr"/>
      <c r="K31" s="13" t="inlineStr"/>
      <c r="L31" s="14" t="n"/>
      <c r="M31" s="14" t="n"/>
      <c r="N31" s="14" t="n"/>
      <c r="O31" s="13">
        <f>IF($L31="","",ROUND(Assumptions!$B$3*$L31,2))</f>
        <v/>
      </c>
      <c r="P31" s="14" t="n">
        <v>8</v>
      </c>
      <c r="Q31" s="13">
        <f>IF($L31="","",SUM($L31,$M31,$N31,$O31,$P31))</f>
        <v/>
      </c>
      <c r="R31" s="14" t="n"/>
      <c r="S31" s="13">
        <f>IF(OR($R31="",$Q31=""),"",$R31-$Q31)</f>
        <v/>
      </c>
      <c r="T31" s="15">
        <f>IF(OR($R31="",$S31=""),"",$S31/$R31)</f>
        <v/>
      </c>
      <c r="U31" s="16" t="inlineStr"/>
      <c r="V31" s="16" t="n"/>
      <c r="W31" s="16" t="inlineStr"/>
      <c r="X31" s="16" t="n"/>
      <c r="Y31" s="16" t="n"/>
      <c r="Z31" s="12" t="inlineStr">
        <is>
          <t>MULTIPLE — itemize each bracelet + cttw.</t>
        </is>
      </c>
    </row>
    <row r="32" ht="92" customHeight="1">
      <c r="A32" s="12" t="inlineStr">
        <is>
          <t>BG-46</t>
        </is>
      </c>
      <c r="B32" s="12" t="n"/>
      <c r="C32" s="12" t="inlineStr">
        <is>
          <t>Rainbow fancy-sapphire bar pendant + matching hoop earrings (set)</t>
        </is>
      </c>
      <c r="D32" s="12" t="inlineStr">
        <is>
          <t>Set (pendant + earrings)</t>
        </is>
      </c>
      <c r="E32" s="12" t="inlineStr">
        <is>
          <t>Multi-color fancy sapphire</t>
        </is>
      </c>
      <c r="F32" s="12" t="inlineStr">
        <is>
          <t>Gold + diamonds</t>
        </is>
      </c>
      <c r="G32" s="12" t="inlineStr"/>
      <c r="H32" s="13" t="n">
        <v>1200</v>
      </c>
      <c r="I32" s="13" t="n">
        <v>2800</v>
      </c>
      <c r="J32" s="13" t="n">
        <v>1400</v>
      </c>
      <c r="K32" s="13" t="n">
        <v>3200</v>
      </c>
      <c r="L32" s="14" t="n"/>
      <c r="M32" s="14" t="n"/>
      <c r="N32" s="14" t="n"/>
      <c r="O32" s="13">
        <f>IF($L32="","",ROUND(Assumptions!$B$3*$L32,2))</f>
        <v/>
      </c>
      <c r="P32" s="14" t="n">
        <v>8</v>
      </c>
      <c r="Q32" s="13">
        <f>IF($L32="","",SUM($L32,$M32,$N32,$O32,$P32))</f>
        <v/>
      </c>
      <c r="R32" s="14" t="n">
        <v>2800</v>
      </c>
      <c r="S32" s="13">
        <f>IF(OR($R32="",$Q32=""),"",$R32-$Q32)</f>
        <v/>
      </c>
      <c r="T32" s="15">
        <f>IF(OR($R32="",$S32=""),"",$S32/$R32)</f>
        <v/>
      </c>
      <c r="U32" s="16" t="inlineStr"/>
      <c r="V32" s="16" t="n"/>
      <c r="W32" s="16" t="inlineStr">
        <is>
          <t>Pendant + matching hoops</t>
        </is>
      </c>
      <c r="X32" s="16" t="n"/>
      <c r="Y32" s="16" t="n"/>
      <c r="Z32" s="12" t="inlineStr">
        <is>
          <t>Confirm sold as set + individual prices.</t>
        </is>
      </c>
    </row>
    <row r="33" ht="92" customHeight="1">
      <c r="A33" s="12" t="inlineStr">
        <is>
          <t>BG-47</t>
        </is>
      </c>
      <c r="B33" s="12" t="n"/>
      <c r="C33" s="12" t="inlineStr">
        <is>
          <t>Emerald + lapis + mother-of-pearl inlay Art-Deco ring</t>
        </is>
      </c>
      <c r="D33" s="12" t="inlineStr">
        <is>
          <t>Ring</t>
        </is>
      </c>
      <c r="E33" s="12" t="inlineStr">
        <is>
          <t>Emerald + inlay</t>
        </is>
      </c>
      <c r="F33" s="12" t="inlineStr">
        <is>
          <t>Rose gold + diamonds</t>
        </is>
      </c>
      <c r="G33" s="12" t="inlineStr">
        <is>
          <t>Y</t>
        </is>
      </c>
      <c r="H33" s="13" t="n">
        <v>1000</v>
      </c>
      <c r="I33" s="13" t="n">
        <v>2500</v>
      </c>
      <c r="J33" s="13" t="inlineStr">
        <is>
          <t>n/a</t>
        </is>
      </c>
      <c r="K33" s="13" t="inlineStr"/>
      <c r="L33" s="14" t="n"/>
      <c r="M33" s="14" t="n"/>
      <c r="N33" s="14" t="n"/>
      <c r="O33" s="13">
        <f>IF($L33="","",ROUND(Assumptions!$B$3*$L33,2))</f>
        <v/>
      </c>
      <c r="P33" s="14" t="n">
        <v>8</v>
      </c>
      <c r="Q33" s="13">
        <f>IF($L33="","",SUM($L33,$M33,$N33,$O33,$P33))</f>
        <v/>
      </c>
      <c r="R33" s="14" t="n">
        <v>2500</v>
      </c>
      <c r="S33" s="13">
        <f>IF(OR($R33="",$Q33=""),"",$R33-$Q33)</f>
        <v/>
      </c>
      <c r="T33" s="15">
        <f>IF(OR($R33="",$S33=""),"",$S33/$R33)</f>
        <v/>
      </c>
      <c r="U33" s="16" t="inlineStr">
        <is>
          <t>resize? →</t>
        </is>
      </c>
      <c r="V33" s="16" t="n"/>
      <c r="W33" s="16" t="inlineStr"/>
      <c r="X33" s="16" t="n"/>
      <c r="Y33" s="16" t="n"/>
      <c r="Z33" s="12" t="inlineStr">
        <is>
          <t>RING. Emerald — ask oiling/clarity treatment. Size+resize.</t>
        </is>
      </c>
    </row>
    <row r="34" ht="92" customHeight="1">
      <c r="A34" s="12" t="inlineStr">
        <is>
          <t>BG-48</t>
        </is>
      </c>
      <c r="B34" s="12" t="n"/>
      <c r="C34" s="12" t="inlineStr">
        <is>
          <t>Pink sapphire pear in openwork circle rose-gold pendant</t>
        </is>
      </c>
      <c r="D34" s="12" t="inlineStr">
        <is>
          <t>Pendant</t>
        </is>
      </c>
      <c r="E34" s="12" t="inlineStr">
        <is>
          <t>Pink Ceylon sapphire</t>
        </is>
      </c>
      <c r="F34" s="12" t="inlineStr">
        <is>
          <t>Rose gold + diamonds</t>
        </is>
      </c>
      <c r="G34" s="12" t="inlineStr"/>
      <c r="H34" s="13" t="n">
        <v>700</v>
      </c>
      <c r="I34" s="13" t="n">
        <v>1500</v>
      </c>
      <c r="J34" s="13" t="n">
        <v>1100</v>
      </c>
      <c r="K34" s="13" t="n">
        <v>2400</v>
      </c>
      <c r="L34" s="14" t="n"/>
      <c r="M34" s="14" t="n"/>
      <c r="N34" s="14" t="n"/>
      <c r="O34" s="13">
        <f>IF($L34="","",ROUND(Assumptions!$B$3*$L34,2))</f>
        <v/>
      </c>
      <c r="P34" s="14" t="n">
        <v>8</v>
      </c>
      <c r="Q34" s="13">
        <f>IF($L34="","",SUM($L34,$M34,$N34,$O34,$P34))</f>
        <v/>
      </c>
      <c r="R34" s="14" t="n">
        <v>1500</v>
      </c>
      <c r="S34" s="13">
        <f>IF(OR($R34="",$Q34=""),"",$R34-$Q34)</f>
        <v/>
      </c>
      <c r="T34" s="15">
        <f>IF(OR($R34="",$S34=""),"",$S34/$R34)</f>
        <v/>
      </c>
      <c r="U34" s="16" t="inlineStr"/>
      <c r="V34" s="16" t="n"/>
      <c r="W34" s="16" t="inlineStr"/>
      <c r="X34" s="16" t="n"/>
      <c r="Y34" s="16" t="n"/>
      <c r="Z34" s="12" t="inlineStr">
        <is>
          <t>Dainty; confirm carat.</t>
        </is>
      </c>
    </row>
  </sheetData>
  <autoFilter ref="A1:Z3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2026-09-09T19:59:10Z</dcterms:created>
  <dcterms:modified xsi:type="dcterms:W3CDTF">2026-09-09T19:59:10Z</dcterms:modified>
</cp:coreProperties>
</file>